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64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_([$€-2]\ * #,##0.00_);_([$€-2]\ * \(#,##0.00\);_([$€-2]\ * &quot;-&quot;??_);_(@_)"/>
    <numFmt numFmtId="165" formatCode="[$$-409]#,##0"/>
    <numFmt numFmtId="166" formatCode="_(&quot;$&quot;* #,##0.00_);_(&quot;$&quot;* \(#,##0.00\);_(&quot;$&quot;* &quot;-&quot;??_);_(@_)"/>
  </numFmts>
  <fonts count="10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  <font>
      <name val="Calibri"/>
      <family val="2"/>
      <color theme="1"/>
      <sz val="11"/>
      <scheme val="minor"/>
    </font>
    <font>
      <name val="Calibri (Body)"/>
      <b val="1"/>
      <sz val="12"/>
    </font>
    <font>
      <name val="Calibri (Body)"/>
      <b val="1"/>
      <color theme="1"/>
      <sz val="12"/>
    </font>
    <font>
      <name val="Calibri (Body)"/>
      <color theme="1"/>
      <sz val="12"/>
    </font>
    <font>
      <name val="Calibri (Body)"/>
      <sz val="12"/>
    </font>
    <font>
      <name val="Arial"/>
      <family val="2"/>
      <sz val="10"/>
    </font>
    <font>
      <name val="Calibri"/>
      <family val="2"/>
      <b val="1"/>
      <sz val="11"/>
    </font>
  </fonts>
  <fills count="7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7" tint="0.799981688894314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3" fillId="0" borderId="0"/>
    <xf numFmtId="9" fontId="3" fillId="0" borderId="0"/>
    <xf numFmtId="0" fontId="3" fillId="0" borderId="0"/>
    <xf numFmtId="166" fontId="8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165" fontId="4" fillId="2" borderId="1" applyAlignment="1" pivotButton="0" quotePrefix="0" xfId="2">
      <alignment horizontal="center" vertical="center"/>
    </xf>
    <xf numFmtId="0" fontId="4" fillId="2" borderId="0" applyAlignment="1" pivotButton="0" quotePrefix="0" xfId="2">
      <alignment horizontal="center" vertical="center" wrapText="1"/>
    </xf>
    <xf numFmtId="165" fontId="4" fillId="2" borderId="0" applyAlignment="1" pivotButton="0" quotePrefix="0" xfId="2">
      <alignment horizontal="center" vertical="center"/>
    </xf>
    <xf numFmtId="0" fontId="5" fillId="3" borderId="1" pivotButton="0" quotePrefix="0" xfId="0"/>
    <xf numFmtId="9" fontId="6" fillId="4" borderId="1" applyAlignment="1" pivotButton="0" quotePrefix="0" xfId="0">
      <alignment horizontal="center"/>
    </xf>
    <xf numFmtId="10" fontId="7" fillId="4" borderId="0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/>
    </xf>
    <xf numFmtId="9" fontId="5" fillId="4" borderId="1" pivotButton="0" quotePrefix="0" xfId="0"/>
    <xf numFmtId="164" fontId="9" fillId="0" borderId="0" pivotButton="0" quotePrefix="0" xfId="0"/>
    <xf numFmtId="9" fontId="0" fillId="5" borderId="0" pivotButton="0" quotePrefix="0" xfId="1"/>
    <xf numFmtId="0" fontId="0" fillId="5" borderId="0" pivotButton="0" quotePrefix="0" xfId="0"/>
    <xf numFmtId="0" fontId="0" fillId="6" borderId="0" pivotButton="0" quotePrefix="0" xfId="0"/>
  </cellXfs>
  <cellStyles count="4">
    <cellStyle name="Normale" xfId="0" builtinId="0"/>
    <cellStyle name="Percentuale" xfId="1" builtinId="5"/>
    <cellStyle name="Normal 2" xfId="2"/>
    <cellStyle name="Currency 2" xfId="3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tabSelected="1" workbookViewId="0">
      <selection activeCell="J27" sqref="J27"/>
    </sheetView>
  </sheetViews>
  <sheetFormatPr baseColWidth="8" defaultColWidth="0" defaultRowHeight="15"/>
  <cols>
    <col width="25.42578125" customWidth="1" min="1" max="1"/>
    <col width="14.28515625" customWidth="1" min="2" max="2"/>
    <col width="23.42578125" bestFit="1" customWidth="1" min="3" max="3"/>
    <col width="3.28515625" customWidth="1" min="4" max="4"/>
    <col width="4.85546875" customWidth="1" min="5" max="5"/>
    <col width="18.7109375" customWidth="1" min="6" max="6"/>
    <col width="16.140625" bestFit="1" customWidth="1" min="7" max="7"/>
    <col width="11.7109375" customWidth="1" min="8" max="8"/>
    <col width="7.7109375" bestFit="1" customWidth="1" min="9" max="9"/>
    <col width="12.140625" bestFit="1" customWidth="1" min="10" max="10"/>
    <col width="6.42578125" bestFit="1" customWidth="1" min="11" max="11"/>
    <col width="10" bestFit="1" customWidth="1" min="12" max="12"/>
    <col width="7.7109375" bestFit="1" customWidth="1" min="13" max="13"/>
    <col width="10.42578125" bestFit="1" customWidth="1" min="14" max="14"/>
    <col width="8.7109375" bestFit="1" customWidth="1" min="15" max="15"/>
    <col width="9.140625" customWidth="1" min="16" max="16"/>
    <col hidden="1" width="9.140625" customWidth="1" min="17" max="16384"/>
  </cols>
  <sheetData>
    <row r="1">
      <c r="F1" s="3" t="n"/>
    </row>
    <row r="2" ht="31.5" customHeight="1">
      <c r="F2" s="3" t="n"/>
      <c r="G2" s="4" t="inlineStr">
        <is>
          <t>25% OFF</t>
        </is>
      </c>
      <c r="H2" s="5" t="inlineStr">
        <is>
          <t xml:space="preserve">Finance </t>
        </is>
      </c>
      <c r="I2" s="6" t="inlineStr">
        <is>
          <t>Duty</t>
        </is>
      </c>
      <c r="J2" s="6" t="inlineStr">
        <is>
          <t>Ware/ship</t>
        </is>
      </c>
      <c r="K2" s="6" t="inlineStr">
        <is>
          <t>Cost</t>
        </is>
      </c>
      <c r="L2" s="6" t="inlineStr">
        <is>
          <t>Mark up</t>
        </is>
      </c>
      <c r="M2" s="6" t="inlineStr">
        <is>
          <t>Price</t>
        </is>
      </c>
      <c r="N2" s="6" t="inlineStr">
        <is>
          <t>Price</t>
        </is>
      </c>
      <c r="O2" s="7" t="inlineStr">
        <is>
          <t>Margin</t>
        </is>
      </c>
    </row>
    <row r="3" ht="14.25" customHeight="1">
      <c r="A3" s="1" t="inlineStr">
        <is>
          <t>Linesheet Name</t>
        </is>
      </c>
      <c r="B3" s="1" t="inlineStr">
        <is>
          <t>Style Number</t>
        </is>
      </c>
      <c r="C3" s="1" t="inlineStr">
        <is>
          <t>Style Name</t>
        </is>
      </c>
      <c r="D3" s="1" t="inlineStr">
        <is>
          <t>Silhouette</t>
        </is>
      </c>
      <c r="E3" s="1" t="inlineStr">
        <is>
          <t>Materials</t>
        </is>
      </c>
      <c r="F3" s="1" t="inlineStr">
        <is>
          <t xml:space="preserve">Price </t>
        </is>
      </c>
      <c r="G3" s="4" t="inlineStr">
        <is>
          <t>WHOLESALE</t>
        </is>
      </c>
      <c r="H3" s="8" t="n">
        <v>0.04</v>
      </c>
      <c r="I3" s="9" t="n">
        <v>0</v>
      </c>
      <c r="J3" s="8" t="n">
        <v>0.06</v>
      </c>
      <c r="K3" s="8" t="n"/>
      <c r="L3" s="8" t="n"/>
      <c r="M3" s="10" t="inlineStr">
        <is>
          <t>EURO</t>
        </is>
      </c>
      <c r="N3" s="10" t="inlineStr">
        <is>
          <t>DOLLAR</t>
        </is>
      </c>
      <c r="O3" s="11" t="n">
        <v>0.3</v>
      </c>
    </row>
    <row r="4" ht="144.95" customHeight="1">
      <c r="B4" s="2" t="n"/>
      <c r="C4" s="2" t="n"/>
      <c r="F4" s="12" t="n"/>
      <c r="G4">
        <f>ROUNDUP(F4*75%,0)</f>
        <v/>
      </c>
      <c r="H4">
        <f>ROUND(G4*H$3,0)</f>
        <v/>
      </c>
      <c r="I4">
        <f>ROUND(G4*I$3,0)</f>
        <v/>
      </c>
      <c r="J4">
        <f>ROUND(G4*J$3,0)</f>
        <v/>
      </c>
      <c r="K4">
        <f>ROUNDUP(G4+H4+I4+J4,0)</f>
        <v/>
      </c>
      <c r="L4">
        <f>M4-K4</f>
        <v/>
      </c>
      <c r="M4" s="15" t="n"/>
      <c r="N4">
        <f>M4*$M$1</f>
        <v/>
      </c>
      <c r="O4" s="13">
        <f>L4/M4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2026-09-24T09:11:35Z</dcterms:created>
  <dcterms:modified xmlns:dcterms="http://purl.org/dc/terms/" xmlns:xsi="http://www.w3.org/2001/XMLSchema-instance" xsi:type="dcterms:W3CDTF">2026-10-03T09:07:03Z</dcterms:modified>
  <cp:lastModifiedBy>Fabio Fiorentini</cp:lastModifiedBy>
</cp:coreProperties>
</file>